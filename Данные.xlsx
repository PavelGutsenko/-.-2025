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RPC\Documents\Научная статья\"/>
    </mc:Choice>
  </mc:AlternateContent>
  <xr:revisionPtr revIDLastSave="0" documentId="13_ncr:1_{88C12FCD-3868-4DBC-BF2C-06CF62385AD8}" xr6:coauthVersionLast="47" xr6:coauthVersionMax="47" xr10:uidLastSave="{00000000-0000-0000-0000-000000000000}"/>
  <bookViews>
    <workbookView xWindow="-120" yWindow="-120" windowWidth="29040" windowHeight="15720" activeTab="1" xr2:uid="{8157C8E4-446E-46E2-8427-B1D04DD2C958}"/>
  </bookViews>
  <sheets>
    <sheet name="Основные данные" sheetId="1" r:id="rId1"/>
    <sheet name="Результаты статистики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21" i="1"/>
  <c r="P20" i="1"/>
</calcChain>
</file>

<file path=xl/sharedStrings.xml><?xml version="1.0" encoding="utf-8"?>
<sst xmlns="http://schemas.openxmlformats.org/spreadsheetml/2006/main" count="60" uniqueCount="25">
  <si>
    <t xml:space="preserve">Дата заседания </t>
  </si>
  <si>
    <t>Сигнал ЦБР</t>
  </si>
  <si>
    <t>Ключевая ставка</t>
  </si>
  <si>
    <t>Инфляция (х1)</t>
  </si>
  <si>
    <t>x1+1</t>
  </si>
  <si>
    <t>RGBI</t>
  </si>
  <si>
    <t>Инфляционные ожидания (х2)</t>
  </si>
  <si>
    <t>х2+1</t>
  </si>
  <si>
    <t>Зарплаты в России</t>
  </si>
  <si>
    <t>Темпы изменения выдач кредитов физических лицам м/м</t>
  </si>
  <si>
    <t>х3+1</t>
  </si>
  <si>
    <t>Темпы изменения выдач кредитов физических лицам г/г</t>
  </si>
  <si>
    <t>х4+1</t>
  </si>
  <si>
    <t>Жесткий</t>
  </si>
  <si>
    <t xml:space="preserve">Нейтральный </t>
  </si>
  <si>
    <t xml:space="preserve">Мягкий </t>
  </si>
  <si>
    <t>x1+2</t>
  </si>
  <si>
    <t>х2+2</t>
  </si>
  <si>
    <t>х2+3</t>
  </si>
  <si>
    <t>x2+3</t>
  </si>
  <si>
    <t>F</t>
  </si>
  <si>
    <t xml:space="preserve">p-value </t>
  </si>
  <si>
    <t>х1+1</t>
  </si>
  <si>
    <t>х1+2</t>
  </si>
  <si>
    <t>Темпы изменения выдач кредитов физических лицам м/м (х3)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</si>
</sst>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204"/>
      <scheme val="minor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1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6" fillId="28" borderId="3" applyNumberFormat="0" applyAlignment="0" applyProtection="0"/>
    <xf numFmtId="0" fontId="15" fillId="29" borderId="4" applyNumberFormat="0" applyAlignment="0" applyProtection="0"/>
    <xf numFmtId="0" fontId="14" fillId="29" borderId="3" applyNumberFormat="0" applyAlignment="0" applyProtection="0"/>
    <xf numFmtId="0" fontId="13" fillId="0" borderId="1" applyNumberFormat="0" applyFill="0" applyAlignment="0" applyProtection="0"/>
    <xf numFmtId="0" fontId="12" fillId="0" borderId="9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0" fillId="0" borderId="8" applyNumberFormat="0" applyFill="0" applyAlignment="0" applyProtection="0"/>
    <xf numFmtId="0" fontId="9" fillId="30" borderId="6" applyNumberFormat="0" applyAlignment="0" applyProtection="0"/>
    <xf numFmtId="0" fontId="8" fillId="0" borderId="0" applyNumberFormat="0" applyFill="0" applyBorder="0" applyAlignment="0" applyProtection="0"/>
    <xf numFmtId="0" fontId="7" fillId="31" borderId="0" applyNumberFormat="0" applyBorder="0" applyAlignment="0" applyProtection="0"/>
    <xf numFmtId="0" fontId="6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1" fillId="33" borderId="7" applyNumberFormat="0" applyFont="0" applyAlignment="0" applyProtection="0"/>
    <xf numFmtId="0" fontId="4" fillId="0" borderId="5" applyNumberFormat="0" applyFill="0" applyAlignment="0" applyProtection="0"/>
    <xf numFmtId="0" fontId="3" fillId="0" borderId="0" applyNumberFormat="0" applyFill="0" applyBorder="0" applyAlignment="0" applyProtection="0"/>
    <xf numFmtId="0" fontId="2" fillId="34" borderId="0" applyNumberFormat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14" fontId="0" fillId="3" borderId="0" xfId="0" applyNumberFormat="1" applyFill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9" fontId="0" fillId="0" borderId="0" xfId="0" applyNumberFormat="1"/>
  </cellXfs>
  <cellStyles count="43">
    <cellStyle name="20% - Акцент1 2" xfId="2" xr:uid="{EB58DA78-F079-4C5C-9F0D-753CF881B4D5}"/>
    <cellStyle name="20% - Акцент2 2" xfId="3" xr:uid="{7E56C007-E555-4D28-9A9B-67024E6258C3}"/>
    <cellStyle name="20% - Акцент3 2" xfId="4" xr:uid="{6C4558DB-8E02-4D4F-AB61-2F1D9315281F}"/>
    <cellStyle name="20% - Акцент4 2" xfId="5" xr:uid="{27847EC8-20E7-4A31-B6A9-9973ABEFA8C9}"/>
    <cellStyle name="20% - Акцент5 2" xfId="6" xr:uid="{5211096D-6D8C-4FB2-AF42-F35D7C2CAC62}"/>
    <cellStyle name="20% - Акцент6 2" xfId="7" xr:uid="{01C90BC7-49E2-4E0D-9108-5333B2B06F1C}"/>
    <cellStyle name="40% - Акцент1 2" xfId="8" xr:uid="{B6E5F89D-4F19-4468-9AAB-23F71FB64800}"/>
    <cellStyle name="40% - Акцент2 2" xfId="9" xr:uid="{DDDDB66A-04E0-4BF3-968E-FF0EFF9890B0}"/>
    <cellStyle name="40% - Акцент3 2" xfId="10" xr:uid="{0558A4F4-A8EA-4E70-86EC-D0E3342E8C56}"/>
    <cellStyle name="40% - Акцент4 2" xfId="11" xr:uid="{71F97759-3162-483A-B179-13E1A489153C}"/>
    <cellStyle name="40% - Акцент5 2" xfId="12" xr:uid="{BA9DD7A4-562E-4F24-9ADE-40BC2B294673}"/>
    <cellStyle name="40% - Акцент6 2" xfId="13" xr:uid="{85E14153-DD36-4499-A58A-69CBFC97BA49}"/>
    <cellStyle name="60% - Акцент1 2" xfId="14" xr:uid="{35BFA3E5-078C-45B0-A70D-BDF7882863F3}"/>
    <cellStyle name="60% - Акцент2 2" xfId="15" xr:uid="{3E07DAAA-128E-4BFA-B37A-C729411A81FF}"/>
    <cellStyle name="60% - Акцент3 2" xfId="16" xr:uid="{DD9BF806-E47D-4975-BA2B-980FE21B701E}"/>
    <cellStyle name="60% - Акцент4 2" xfId="17" xr:uid="{847579B5-4CE2-4FA1-90FD-292B9B6C831E}"/>
    <cellStyle name="60% - Акцент5 2" xfId="18" xr:uid="{0329C897-96D2-46D6-8AC4-4CF16F7CE871}"/>
    <cellStyle name="60% - Акцент6 2" xfId="19" xr:uid="{557B0D44-E2AA-40B1-81D5-E6D7C9A2F559}"/>
    <cellStyle name="Акцент1 2" xfId="20" xr:uid="{4D000682-189E-483A-9480-2D83E90F226E}"/>
    <cellStyle name="Акцент2 2" xfId="21" xr:uid="{C2CA092C-FB30-4F96-9670-E25BE9721106}"/>
    <cellStyle name="Акцент3 2" xfId="22" xr:uid="{3EE72CE7-0238-4831-A656-ABC258321525}"/>
    <cellStyle name="Акцент4 2" xfId="23" xr:uid="{86E06748-310B-4515-BA05-E2CE7C142227}"/>
    <cellStyle name="Акцент5 2" xfId="24" xr:uid="{13D95614-0B34-4777-92F5-CFC290EADC36}"/>
    <cellStyle name="Акцент6 2" xfId="25" xr:uid="{AC63A296-EE6F-4D0C-B985-C19B77E52BE5}"/>
    <cellStyle name="Ввод  2" xfId="26" xr:uid="{0AF880D0-4DE9-4C01-B782-8CEA9E4C22D7}"/>
    <cellStyle name="Вывод 2" xfId="27" xr:uid="{E95FDA33-1DD1-4B53-A171-18AA32F9D325}"/>
    <cellStyle name="Вычисление 2" xfId="28" xr:uid="{5FB8A764-BB8A-4A3F-851F-AD34BEF6E16D}"/>
    <cellStyle name="Заголовок 1 2" xfId="29" xr:uid="{3C1DC791-FCEA-4FB5-B746-5B8060ACB91C}"/>
    <cellStyle name="Заголовок 2 2" xfId="30" xr:uid="{3311ACB8-E89D-4DF0-A3E8-CEA8540346E3}"/>
    <cellStyle name="Заголовок 3 2" xfId="31" xr:uid="{538F6BA5-B9CE-40EB-BACE-8F2FE85D47CC}"/>
    <cellStyle name="Заголовок 4 2" xfId="32" xr:uid="{75A7DAD3-5A7C-4602-AEAD-259822B51336}"/>
    <cellStyle name="Итог 2" xfId="33" xr:uid="{D5532BA9-1E87-4633-BE30-F619697464C5}"/>
    <cellStyle name="Контрольная ячейка 2" xfId="34" xr:uid="{A06915DC-CD88-47CE-9B5B-9D527F3F9E11}"/>
    <cellStyle name="Название 2" xfId="35" xr:uid="{FC75CE9B-2DE2-4221-99B9-8163E37D115B}"/>
    <cellStyle name="Нейтральный 2" xfId="36" xr:uid="{9A035D40-3433-4C85-A26D-E5A38EC1FE5B}"/>
    <cellStyle name="Обычный" xfId="0" builtinId="0"/>
    <cellStyle name="Обычный 2" xfId="1" xr:uid="{72D82702-E288-4C91-ADE6-05B1A5992726}"/>
    <cellStyle name="Плохой 2" xfId="37" xr:uid="{4576252E-18A9-4CF4-871F-473F4FD059B3}"/>
    <cellStyle name="Пояснение 2" xfId="38" xr:uid="{D18DC6AC-DE3E-4681-B376-2EFB6046659B}"/>
    <cellStyle name="Примечание 2" xfId="39" xr:uid="{AEEEBC64-CC5D-438C-80B8-E96541E5D58A}"/>
    <cellStyle name="Связанная ячейка 2" xfId="40" xr:uid="{87653519-2D80-4C4C-A662-197215A3F902}"/>
    <cellStyle name="Текст предупреждения 2" xfId="41" xr:uid="{B5CAADE4-40C9-46E9-B4C1-2DC45ECA9A0D}"/>
    <cellStyle name="Хороший 2" xfId="42" xr:uid="{5CF661FC-0955-437C-9F9F-093B857C0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YPERPC\Documents\&#1053;&#1072;&#1091;&#1095;&#1085;&#1072;&#1103;%20&#1089;&#1090;&#1072;&#1090;&#1100;&#1103;\&#1048;&#1085;&#1092;&#1083;&#1103;&#1094;&#1080;&#1103;%20&#1080;%20&#1082;&#1083;&#1102;&#1095;&#1077;&#1074;&#1072;&#1103;%20&#1089;&#1090;&#1072;&#1074;&#1082;&#1072;%20&#1041;&#1072;&#1085;&#1082;&#1072;%20&#1056;&#1086;&#1089;&#1089;&#1080;&#1080;_F01_01_2024_T30_07_2025.xlsx" TargetMode="External"/><Relationship Id="rId1" Type="http://schemas.openxmlformats.org/officeDocument/2006/relationships/externalLinkPath" Target="&#1048;&#1085;&#1092;&#1083;&#1103;&#1094;&#1080;&#1103;%20&#1080;%20&#1082;&#1083;&#1102;&#1095;&#1077;&#1074;&#1072;&#1103;%20&#1089;&#1090;&#1072;&#1074;&#1082;&#1072;%20&#1041;&#1072;&#1085;&#1082;&#1072;%20&#1056;&#1086;&#1089;&#1089;&#1080;&#1080;_F01_01_2024_T30_07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нфляция и ключевая ставка Банк"/>
      <sheetName val="Продвинутый расчет "/>
      <sheetName val="Расчеты"/>
      <sheetName val="RGBI "/>
      <sheetName val="Зарплаты"/>
      <sheetName val="Кредиты предоставленные физлиц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B2" t="str">
            <v>Май 2023</v>
          </cell>
          <cell r="BN2" t="str">
            <v>Май 2024</v>
          </cell>
        </row>
        <row r="3">
          <cell r="AA3">
            <v>1393258</v>
          </cell>
          <cell r="AM3">
            <v>1692068</v>
          </cell>
          <cell r="BA3">
            <v>2008231</v>
          </cell>
          <cell r="BM3">
            <v>2449116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36E3-7CF8-4DCF-8D18-1C659C6FE13F}">
  <dimension ref="A1:P31"/>
  <sheetViews>
    <sheetView workbookViewId="0">
      <selection activeCell="K32" sqref="K32"/>
    </sheetView>
  </sheetViews>
  <sheetFormatPr defaultRowHeight="15" x14ac:dyDescent="0.25"/>
  <cols>
    <col min="1" max="1" width="15.5703125" bestFit="1" customWidth="1"/>
    <col min="2" max="2" width="33.28515625" customWidth="1"/>
    <col min="3" max="3" width="13.140625" customWidth="1"/>
    <col min="4" max="4" width="14.28515625" bestFit="1" customWidth="1"/>
    <col min="5" max="6" width="10.5703125" customWidth="1"/>
    <col min="7" max="7" width="14.5703125" customWidth="1"/>
    <col min="8" max="8" width="13" customWidth="1"/>
    <col min="9" max="9" width="21.7109375" customWidth="1"/>
    <col min="10" max="11" width="21.28515625" customWidth="1"/>
    <col min="12" max="12" width="25.85546875" customWidth="1"/>
    <col min="13" max="13" width="34.42578125" customWidth="1"/>
    <col min="14" max="14" width="26.85546875" customWidth="1"/>
    <col min="15" max="15" width="27.85546875" customWidth="1"/>
  </cols>
  <sheetData>
    <row r="1" spans="1:16" ht="27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1" t="s">
        <v>5</v>
      </c>
      <c r="H1" s="2" t="s">
        <v>6</v>
      </c>
      <c r="I1" s="2" t="s">
        <v>7</v>
      </c>
      <c r="J1" s="2" t="s">
        <v>17</v>
      </c>
      <c r="K1" s="2" t="s">
        <v>19</v>
      </c>
      <c r="L1" s="1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x14ac:dyDescent="0.25">
      <c r="A2" s="3">
        <v>44620</v>
      </c>
      <c r="B2" t="s">
        <v>13</v>
      </c>
      <c r="C2" s="4">
        <v>20</v>
      </c>
      <c r="D2" s="4">
        <v>9.15</v>
      </c>
      <c r="E2" s="4">
        <v>17.829999999999998</v>
      </c>
      <c r="F2" s="4">
        <v>17.100000000000001</v>
      </c>
      <c r="G2">
        <v>108.45</v>
      </c>
      <c r="H2" s="5">
        <v>0.13500000000000001</v>
      </c>
      <c r="I2" s="5">
        <v>0.183</v>
      </c>
      <c r="J2" s="5">
        <v>0.115</v>
      </c>
      <c r="K2" s="5">
        <v>0.124</v>
      </c>
      <c r="L2" s="4">
        <v>57344</v>
      </c>
      <c r="M2" s="5">
        <v>0.16275512412874171</v>
      </c>
      <c r="N2" s="5">
        <v>-0.23283402321892499</v>
      </c>
      <c r="O2" s="5">
        <f>'[1]Кредиты предоставленные физлица'!AM3/'[1]Кредиты предоставленные физлица'!AA3-1</f>
        <v>0.21446853346616357</v>
      </c>
      <c r="P2" s="5">
        <v>-0.25464320288841502</v>
      </c>
    </row>
    <row r="3" spans="1:16" x14ac:dyDescent="0.25">
      <c r="A3" s="3">
        <v>44680</v>
      </c>
      <c r="B3" t="s">
        <v>14</v>
      </c>
      <c r="C3" s="4">
        <v>17</v>
      </c>
      <c r="D3" s="4">
        <v>17.829999999999998</v>
      </c>
      <c r="E3" s="4">
        <v>17.100000000000001</v>
      </c>
      <c r="F3" s="4">
        <v>15.9</v>
      </c>
      <c r="G3">
        <v>126.17</v>
      </c>
      <c r="H3" s="5">
        <v>0.125</v>
      </c>
      <c r="I3" s="5">
        <v>0.115</v>
      </c>
      <c r="J3" s="5">
        <v>0.124</v>
      </c>
      <c r="K3" s="5">
        <v>0.108</v>
      </c>
      <c r="L3" s="4">
        <v>62269</v>
      </c>
      <c r="M3" s="5">
        <v>-0.33803406062875119</v>
      </c>
      <c r="N3" s="5">
        <v>0.14744395412058253</v>
      </c>
      <c r="O3" s="5">
        <v>-0.52990425714077827</v>
      </c>
      <c r="P3" s="5">
        <v>-0.40822334483083544</v>
      </c>
    </row>
    <row r="4" spans="1:16" x14ac:dyDescent="0.25">
      <c r="A4" s="3">
        <v>44682</v>
      </c>
      <c r="B4" t="s">
        <v>14</v>
      </c>
      <c r="C4" s="4">
        <v>11</v>
      </c>
      <c r="D4" s="4">
        <v>17.100000000000001</v>
      </c>
      <c r="E4" s="4">
        <v>15.9</v>
      </c>
      <c r="F4" s="4">
        <v>15.1</v>
      </c>
      <c r="G4">
        <v>128.97999999999999</v>
      </c>
      <c r="H4" s="5">
        <v>0.115</v>
      </c>
      <c r="I4" s="5">
        <v>0.124</v>
      </c>
      <c r="J4" s="5">
        <v>0.108</v>
      </c>
      <c r="K4" s="5">
        <v>0.125</v>
      </c>
      <c r="L4" s="4">
        <v>62457</v>
      </c>
      <c r="M4" s="5">
        <v>0.14744395412058253</v>
      </c>
      <c r="N4" s="5">
        <v>0.2949662979693588</v>
      </c>
      <c r="O4" s="5">
        <v>-0.40822334483083544</v>
      </c>
      <c r="P4" s="5">
        <v>-0.3084424113190154</v>
      </c>
    </row>
    <row r="5" spans="1:16" x14ac:dyDescent="0.25">
      <c r="A5" s="3">
        <v>44713</v>
      </c>
      <c r="B5" t="s">
        <v>15</v>
      </c>
      <c r="C5" s="4">
        <v>9.5</v>
      </c>
      <c r="D5" s="4">
        <v>15.9</v>
      </c>
      <c r="E5" s="4">
        <v>15.1</v>
      </c>
      <c r="F5" s="4">
        <v>13.68</v>
      </c>
      <c r="G5">
        <v>134.62</v>
      </c>
      <c r="H5" s="5">
        <v>0.124</v>
      </c>
      <c r="I5" s="5">
        <v>0.108</v>
      </c>
      <c r="J5" s="5">
        <v>0.125</v>
      </c>
      <c r="K5" s="5">
        <v>0.128</v>
      </c>
      <c r="L5" s="4">
        <v>66572</v>
      </c>
      <c r="M5" s="5">
        <v>0.2949662979693588</v>
      </c>
      <c r="N5" s="5">
        <v>0.15301187551347906</v>
      </c>
      <c r="O5" s="5">
        <v>-0.3084424113190154</v>
      </c>
      <c r="P5" s="5">
        <v>-0.1419806726964683</v>
      </c>
    </row>
    <row r="6" spans="1:16" x14ac:dyDescent="0.25">
      <c r="A6" s="3">
        <v>44743</v>
      </c>
      <c r="B6" t="s">
        <v>15</v>
      </c>
      <c r="C6" s="4">
        <v>8</v>
      </c>
      <c r="D6" s="4">
        <v>15.1</v>
      </c>
      <c r="E6" s="4">
        <v>13.68</v>
      </c>
      <c r="F6" s="4">
        <v>12.63</v>
      </c>
      <c r="G6">
        <v>136.19999999999999</v>
      </c>
      <c r="H6" s="5">
        <v>0.108</v>
      </c>
      <c r="I6" s="5">
        <v>0.125</v>
      </c>
      <c r="J6" s="5">
        <v>0.128</v>
      </c>
      <c r="K6" s="5">
        <v>0.121</v>
      </c>
      <c r="L6" s="4">
        <v>62200</v>
      </c>
      <c r="M6" s="5">
        <v>0.15301187551347906</v>
      </c>
      <c r="N6" s="5">
        <v>0.17838485150445016</v>
      </c>
      <c r="O6" s="5">
        <v>-0.1419806726964683</v>
      </c>
      <c r="P6" s="5">
        <v>-4.1022582292811416E-2</v>
      </c>
    </row>
    <row r="7" spans="1:16" x14ac:dyDescent="0.25">
      <c r="A7" s="3">
        <v>44805</v>
      </c>
      <c r="B7" t="s">
        <v>14</v>
      </c>
      <c r="C7" s="4">
        <v>7.5</v>
      </c>
      <c r="D7" s="4">
        <v>13.68</v>
      </c>
      <c r="E7" s="4">
        <v>12.63</v>
      </c>
      <c r="F7" s="4">
        <v>11.94</v>
      </c>
      <c r="G7">
        <v>125.74</v>
      </c>
      <c r="H7" s="5">
        <v>0.125</v>
      </c>
      <c r="I7" s="5">
        <v>0.128</v>
      </c>
      <c r="J7" s="5">
        <v>0.121</v>
      </c>
      <c r="K7" s="5">
        <v>0.122</v>
      </c>
      <c r="L7" s="4">
        <v>61879</v>
      </c>
      <c r="M7" s="5">
        <v>0.17838485150445016</v>
      </c>
      <c r="N7" s="5">
        <v>-6.4044219073250974E-2</v>
      </c>
      <c r="O7" s="5">
        <v>-4.1022582292811416E-2</v>
      </c>
      <c r="P7" s="5">
        <v>-9.5700641642908812E-2</v>
      </c>
    </row>
    <row r="8" spans="1:16" x14ac:dyDescent="0.25">
      <c r="A8" s="3">
        <v>44835</v>
      </c>
      <c r="B8" t="s">
        <v>14</v>
      </c>
      <c r="C8" s="4">
        <v>7.5</v>
      </c>
      <c r="D8" s="4">
        <v>12.63</v>
      </c>
      <c r="E8" s="4">
        <v>11.94</v>
      </c>
      <c r="F8" s="4">
        <v>10.99</v>
      </c>
      <c r="G8">
        <v>130.22</v>
      </c>
      <c r="H8" s="5">
        <v>0.128</v>
      </c>
      <c r="I8" s="5">
        <v>0.121</v>
      </c>
      <c r="J8" s="5">
        <v>0.122</v>
      </c>
      <c r="K8" s="5">
        <v>0.107</v>
      </c>
      <c r="L8" s="4">
        <v>62470</v>
      </c>
      <c r="M8" s="5">
        <v>-6.4044219073250974E-2</v>
      </c>
      <c r="N8" s="5">
        <v>0.19193578198176175</v>
      </c>
      <c r="O8" s="5">
        <v>-9.5700641642908812E-2</v>
      </c>
      <c r="P8" s="5">
        <v>1.7336960874493101E-2</v>
      </c>
    </row>
    <row r="9" spans="1:16" x14ac:dyDescent="0.25">
      <c r="A9" s="3">
        <v>44896</v>
      </c>
      <c r="B9" t="s">
        <v>14</v>
      </c>
      <c r="C9" s="4">
        <v>7.5</v>
      </c>
      <c r="D9" s="4">
        <v>11.94</v>
      </c>
      <c r="E9" s="4">
        <v>10.99</v>
      </c>
      <c r="F9" s="4">
        <v>3.51</v>
      </c>
      <c r="G9">
        <v>130.4</v>
      </c>
      <c r="H9" s="5">
        <v>0.121</v>
      </c>
      <c r="I9" s="5">
        <v>0.122</v>
      </c>
      <c r="J9" s="5">
        <v>0.107</v>
      </c>
      <c r="K9" s="5">
        <v>0.104</v>
      </c>
      <c r="L9" s="4">
        <v>88468</v>
      </c>
      <c r="M9" s="5">
        <v>0.19193578198176175</v>
      </c>
      <c r="N9" s="5">
        <v>-1.0836897183737038E-2</v>
      </c>
      <c r="O9" s="5">
        <v>1.7336960874493101E-2</v>
      </c>
      <c r="P9" s="5">
        <v>-5.0797012886006909E-2</v>
      </c>
    </row>
    <row r="10" spans="1:16" x14ac:dyDescent="0.25">
      <c r="A10" s="3">
        <v>44958</v>
      </c>
      <c r="B10" s="6" t="s">
        <v>14</v>
      </c>
      <c r="C10" s="4">
        <v>7.5</v>
      </c>
      <c r="D10" s="4">
        <v>10.99</v>
      </c>
      <c r="E10" s="4">
        <v>3.51</v>
      </c>
      <c r="F10" s="4">
        <v>2.31</v>
      </c>
      <c r="G10">
        <v>128.80000000000001</v>
      </c>
      <c r="H10" s="5">
        <v>0.122</v>
      </c>
      <c r="I10" s="5">
        <v>0.107</v>
      </c>
      <c r="J10" s="5">
        <v>0.104</v>
      </c>
      <c r="K10" s="5">
        <v>0.10199999999999999</v>
      </c>
      <c r="L10" s="4">
        <v>65094</v>
      </c>
      <c r="M10" s="5">
        <v>-1.0836897183737038E-2</v>
      </c>
      <c r="N10" s="5">
        <v>0.28291667600596715</v>
      </c>
      <c r="O10" s="5">
        <v>-5.0797012886006909E-2</v>
      </c>
      <c r="P10" s="5">
        <v>0.58733361220309432</v>
      </c>
    </row>
    <row r="11" spans="1:16" x14ac:dyDescent="0.25">
      <c r="A11" s="3">
        <v>44986</v>
      </c>
      <c r="B11" s="6" t="s">
        <v>14</v>
      </c>
      <c r="C11" s="4">
        <v>7.5</v>
      </c>
      <c r="D11" s="4">
        <v>3.51</v>
      </c>
      <c r="E11" s="4">
        <v>2.31</v>
      </c>
      <c r="F11" s="4">
        <v>3.25</v>
      </c>
      <c r="G11">
        <v>129.08000000000001</v>
      </c>
      <c r="H11" s="5">
        <v>0.107</v>
      </c>
      <c r="I11" s="5">
        <v>0.104</v>
      </c>
      <c r="J11" s="5">
        <v>0.10199999999999999</v>
      </c>
      <c r="K11" s="5">
        <v>0.111</v>
      </c>
      <c r="L11" s="4">
        <v>71334</v>
      </c>
      <c r="M11" s="5">
        <v>0.28291667600596715</v>
      </c>
      <c r="N11" s="5">
        <v>-2.537329296151003E-2</v>
      </c>
      <c r="O11" s="5">
        <v>0.58733361220309432</v>
      </c>
      <c r="P11" s="5">
        <v>1.3370654582355788</v>
      </c>
    </row>
    <row r="12" spans="1:16" x14ac:dyDescent="0.25">
      <c r="A12" s="3">
        <v>45017</v>
      </c>
      <c r="B12" s="6" t="s">
        <v>14</v>
      </c>
      <c r="C12" s="4">
        <v>7.5</v>
      </c>
      <c r="D12" s="4">
        <v>2.31</v>
      </c>
      <c r="E12" s="4">
        <v>3.25</v>
      </c>
      <c r="F12" s="4">
        <v>4.3</v>
      </c>
      <c r="G12">
        <v>129.59</v>
      </c>
      <c r="H12" s="5">
        <v>0.104</v>
      </c>
      <c r="I12" s="5">
        <v>0.10199999999999999</v>
      </c>
      <c r="J12" s="5">
        <v>0.111</v>
      </c>
      <c r="K12" s="5">
        <v>0.115</v>
      </c>
      <c r="L12" s="4">
        <v>71204</v>
      </c>
      <c r="M12" s="5">
        <v>-2.537329296151003E-2</v>
      </c>
      <c r="N12" s="5">
        <v>9.6647248249827733E-2</v>
      </c>
      <c r="O12" s="5">
        <v>1.3370654582355788</v>
      </c>
      <c r="P12" s="5">
        <v>0.72483629366187641</v>
      </c>
    </row>
    <row r="13" spans="1:16" x14ac:dyDescent="0.25">
      <c r="A13" s="3">
        <v>45078</v>
      </c>
      <c r="B13" t="s">
        <v>13</v>
      </c>
      <c r="C13" s="4">
        <v>7.5</v>
      </c>
      <c r="D13" s="4">
        <v>3.25</v>
      </c>
      <c r="E13" s="4">
        <v>4.3</v>
      </c>
      <c r="F13" s="4">
        <v>5.15</v>
      </c>
      <c r="G13">
        <v>128.41</v>
      </c>
      <c r="H13" s="5">
        <v>0.10199999999999999</v>
      </c>
      <c r="I13" s="5">
        <v>0.111</v>
      </c>
      <c r="J13" s="5">
        <v>0.115</v>
      </c>
      <c r="K13" s="5">
        <v>0.11700000000000001</v>
      </c>
      <c r="L13" s="4">
        <v>76604</v>
      </c>
      <c r="M13" s="5">
        <v>9.6647248249827733E-2</v>
      </c>
      <c r="N13" s="5">
        <v>4.841937210788072E-2</v>
      </c>
      <c r="O13" s="5">
        <v>0.72483629366187641</v>
      </c>
      <c r="P13" s="5">
        <v>0.56837221055033993</v>
      </c>
    </row>
    <row r="14" spans="1:16" x14ac:dyDescent="0.25">
      <c r="A14" s="3">
        <v>45108</v>
      </c>
      <c r="B14" t="s">
        <v>13</v>
      </c>
      <c r="C14" s="4">
        <v>8.5</v>
      </c>
      <c r="D14" s="4">
        <v>4.3</v>
      </c>
      <c r="E14" s="4">
        <v>5.15</v>
      </c>
      <c r="F14" s="4">
        <v>6</v>
      </c>
      <c r="G14">
        <v>126.86</v>
      </c>
      <c r="H14" s="5">
        <v>0.111</v>
      </c>
      <c r="I14" s="5">
        <v>0.115</v>
      </c>
      <c r="J14" s="5">
        <v>0.11700000000000001</v>
      </c>
      <c r="K14" s="5">
        <v>0.112</v>
      </c>
      <c r="L14" s="4">
        <v>71419</v>
      </c>
      <c r="M14" s="5">
        <v>4.841937210788072E-2</v>
      </c>
      <c r="N14" s="5">
        <v>0.14882613614118245</v>
      </c>
      <c r="O14" s="5">
        <v>0.56837221055033993</v>
      </c>
      <c r="P14" s="5">
        <v>0.55591212104326204</v>
      </c>
    </row>
    <row r="15" spans="1:16" x14ac:dyDescent="0.25">
      <c r="A15" s="3">
        <v>45139</v>
      </c>
      <c r="B15" t="s">
        <v>13</v>
      </c>
      <c r="C15" s="4">
        <v>12</v>
      </c>
      <c r="D15" s="4">
        <v>5.15</v>
      </c>
      <c r="E15" s="4">
        <v>6</v>
      </c>
      <c r="F15" s="4">
        <v>6.69</v>
      </c>
      <c r="G15">
        <v>123.89</v>
      </c>
      <c r="H15" s="5">
        <v>0.115</v>
      </c>
      <c r="I15" s="5">
        <v>0.11700000000000001</v>
      </c>
      <c r="J15" s="5">
        <v>0.112</v>
      </c>
      <c r="K15" s="5">
        <v>0.14199999999999999</v>
      </c>
      <c r="L15" s="4">
        <v>69439</v>
      </c>
      <c r="M15" s="5">
        <v>0.14882613614118245</v>
      </c>
      <c r="N15" s="5">
        <v>-2.849291767401585E-2</v>
      </c>
      <c r="O15" s="5">
        <v>0.55591212104326204</v>
      </c>
      <c r="P15" s="5">
        <v>0.48546446109301433</v>
      </c>
    </row>
    <row r="16" spans="1:16" x14ac:dyDescent="0.25">
      <c r="A16" s="3">
        <v>45170</v>
      </c>
      <c r="B16" t="s">
        <v>13</v>
      </c>
      <c r="C16" s="4">
        <v>13</v>
      </c>
      <c r="D16" s="4">
        <v>6</v>
      </c>
      <c r="E16" s="4">
        <v>6.69</v>
      </c>
      <c r="F16" s="4">
        <v>7.42</v>
      </c>
      <c r="G16">
        <v>119.34</v>
      </c>
      <c r="H16" s="5">
        <v>0.11700000000000001</v>
      </c>
      <c r="I16" s="5">
        <v>0.112</v>
      </c>
      <c r="J16" s="5">
        <v>0.14199999999999999</v>
      </c>
      <c r="K16" s="5">
        <v>0.11899999999999999</v>
      </c>
      <c r="L16" s="4">
        <v>70922</v>
      </c>
      <c r="M16" s="5">
        <v>-2.849291767401585E-2</v>
      </c>
      <c r="N16" s="5">
        <v>-5.5000972057140607E-2</v>
      </c>
      <c r="O16" s="5">
        <v>0.48546446109301433</v>
      </c>
      <c r="P16" s="5">
        <v>0.49981708578861284</v>
      </c>
    </row>
    <row r="17" spans="1:16" x14ac:dyDescent="0.25">
      <c r="A17" s="3">
        <v>45200</v>
      </c>
      <c r="B17" t="s">
        <v>13</v>
      </c>
      <c r="C17" s="4">
        <v>15</v>
      </c>
      <c r="D17" s="4">
        <v>6.69</v>
      </c>
      <c r="E17" s="4">
        <v>7.42</v>
      </c>
      <c r="F17" s="4">
        <v>7.69</v>
      </c>
      <c r="G17">
        <v>117.54</v>
      </c>
      <c r="H17" s="5">
        <v>0.112</v>
      </c>
      <c r="I17" s="5">
        <v>0.14199999999999999</v>
      </c>
      <c r="J17" s="5">
        <v>0.11899999999999999</v>
      </c>
      <c r="K17" s="5">
        <v>0.115</v>
      </c>
      <c r="L17" s="4">
        <v>73830</v>
      </c>
      <c r="M17" s="5">
        <v>-5.5000972057140607E-2</v>
      </c>
      <c r="N17" s="5">
        <v>-9.6293184618878591E-3</v>
      </c>
      <c r="O17" s="5">
        <v>0.49981708578861284</v>
      </c>
      <c r="P17" s="5">
        <v>0.15074274219636408</v>
      </c>
    </row>
    <row r="18" spans="1:16" x14ac:dyDescent="0.25">
      <c r="A18" s="3">
        <v>45261</v>
      </c>
      <c r="B18" t="s">
        <v>13</v>
      </c>
      <c r="C18" s="4">
        <v>16</v>
      </c>
      <c r="D18" s="4">
        <v>7.42</v>
      </c>
      <c r="E18" s="4">
        <v>7.69</v>
      </c>
      <c r="F18" s="4">
        <v>7.72</v>
      </c>
      <c r="G18">
        <v>121.05</v>
      </c>
      <c r="H18" s="5">
        <v>0.14199999999999999</v>
      </c>
      <c r="I18" s="5">
        <v>0.11899999999999999</v>
      </c>
      <c r="J18" s="5">
        <v>0.115</v>
      </c>
      <c r="K18" s="5">
        <v>0.11</v>
      </c>
      <c r="L18" s="4">
        <v>103815</v>
      </c>
      <c r="M18" s="5">
        <v>-9.6293184618878591E-3</v>
      </c>
      <c r="N18" s="5">
        <v>-0.18996890731111471</v>
      </c>
      <c r="O18" s="5">
        <v>0.15074274219636408</v>
      </c>
      <c r="P18" s="5">
        <v>0.21638163121468179</v>
      </c>
    </row>
    <row r="19" spans="1:16" x14ac:dyDescent="0.25">
      <c r="A19" s="3">
        <v>45323</v>
      </c>
      <c r="B19" s="6" t="s">
        <v>15</v>
      </c>
      <c r="C19" s="4">
        <v>16</v>
      </c>
      <c r="D19" s="4">
        <v>7.69</v>
      </c>
      <c r="E19" s="4">
        <v>7.72</v>
      </c>
      <c r="F19" s="4">
        <v>7.84</v>
      </c>
      <c r="G19">
        <v>118.95</v>
      </c>
      <c r="H19" s="5">
        <v>0.11899999999999999</v>
      </c>
      <c r="I19" s="5">
        <v>0.115</v>
      </c>
      <c r="J19" s="5">
        <v>0.11</v>
      </c>
      <c r="K19" s="5">
        <v>0.11899999999999999</v>
      </c>
      <c r="L19" s="4">
        <v>78432</v>
      </c>
      <c r="M19" s="5">
        <v>-0.18996890731111471</v>
      </c>
      <c r="N19" s="5">
        <v>0.24011516904256136</v>
      </c>
      <c r="O19" s="5">
        <v>0.21638163121468179</v>
      </c>
      <c r="P19" s="5">
        <v>0.17579991002240702</v>
      </c>
    </row>
    <row r="20" spans="1:16" x14ac:dyDescent="0.25">
      <c r="A20" s="3">
        <v>45352</v>
      </c>
      <c r="B20" s="6" t="s">
        <v>15</v>
      </c>
      <c r="C20" s="4">
        <v>16</v>
      </c>
      <c r="D20" s="4">
        <v>7.72</v>
      </c>
      <c r="E20" s="4">
        <v>7.84</v>
      </c>
      <c r="F20" s="4">
        <v>8.59</v>
      </c>
      <c r="G20">
        <v>115.38</v>
      </c>
      <c r="H20" s="5">
        <v>0.115</v>
      </c>
      <c r="I20" s="5">
        <v>0.11</v>
      </c>
      <c r="J20" s="5">
        <v>0.11899999999999999</v>
      </c>
      <c r="K20" s="5">
        <v>0.124</v>
      </c>
      <c r="L20" s="4">
        <v>87740</v>
      </c>
      <c r="M20" s="5">
        <v>0.24011516904256136</v>
      </c>
      <c r="N20" s="5">
        <v>1.0882257400781192E-2</v>
      </c>
      <c r="O20" s="5">
        <v>0.17579991002240702</v>
      </c>
      <c r="P20" s="5">
        <f>'[1]Кредиты предоставленные физлица'!BN2/'[1]Кредиты предоставленные физлица'!BB2-1</f>
        <v>8.1248473816235567E-3</v>
      </c>
    </row>
    <row r="21" spans="1:16" x14ac:dyDescent="0.25">
      <c r="A21" s="3">
        <v>45383</v>
      </c>
      <c r="B21" s="6" t="s">
        <v>14</v>
      </c>
      <c r="C21" s="4">
        <v>16</v>
      </c>
      <c r="D21" s="4">
        <v>7.84</v>
      </c>
      <c r="E21" s="4">
        <v>8.59</v>
      </c>
      <c r="F21" s="4">
        <v>9.1300000000000008</v>
      </c>
      <c r="G21">
        <v>113.85</v>
      </c>
      <c r="H21" s="5">
        <v>0.11</v>
      </c>
      <c r="I21" s="5">
        <v>0.11899999999999999</v>
      </c>
      <c r="J21" s="5">
        <v>0.124</v>
      </c>
      <c r="K21" s="5">
        <v>0.125</v>
      </c>
      <c r="L21" s="4">
        <v>83875</v>
      </c>
      <c r="M21" s="5">
        <v>1.0882257400781192E-2</v>
      </c>
      <c r="N21" s="5">
        <v>0.22283427979728199</v>
      </c>
      <c r="O21" s="5">
        <f>'[1]Кредиты предоставленные физлица'!BM3/'[1]Кредиты предоставленные физлица'!BA3-1</f>
        <v>0.21953898729777599</v>
      </c>
      <c r="P21" s="5">
        <v>0.35986670426336587</v>
      </c>
    </row>
    <row r="22" spans="1:16" x14ac:dyDescent="0.25">
      <c r="A22" s="3">
        <v>45444</v>
      </c>
      <c r="B22" t="s">
        <v>13</v>
      </c>
      <c r="C22" s="4">
        <v>16</v>
      </c>
      <c r="D22" s="4">
        <v>8.59</v>
      </c>
      <c r="E22" s="4">
        <v>9.1300000000000008</v>
      </c>
      <c r="F22" s="4">
        <v>8.6300000000000008</v>
      </c>
      <c r="G22">
        <v>106.8</v>
      </c>
      <c r="H22" s="5">
        <v>0.11899999999999999</v>
      </c>
      <c r="I22" s="5">
        <v>0.124</v>
      </c>
      <c r="J22" s="5">
        <v>0.125</v>
      </c>
      <c r="K22" s="5">
        <v>0.13400000000000001</v>
      </c>
      <c r="L22" s="4">
        <v>89145</v>
      </c>
      <c r="M22" s="5">
        <v>0.22283427979728199</v>
      </c>
      <c r="N22" s="5">
        <v>-0.22207793812271215</v>
      </c>
      <c r="O22" s="5">
        <v>0.35986670426336587</v>
      </c>
      <c r="P22" s="5">
        <v>9.0144636796889444E-3</v>
      </c>
    </row>
    <row r="23" spans="1:16" x14ac:dyDescent="0.25">
      <c r="A23" s="3">
        <v>45474</v>
      </c>
      <c r="B23" t="s">
        <v>13</v>
      </c>
      <c r="C23" s="4">
        <v>18</v>
      </c>
      <c r="D23" s="4">
        <v>9.1300000000000008</v>
      </c>
      <c r="E23" s="4">
        <v>8.6300000000000008</v>
      </c>
      <c r="F23" s="4">
        <v>8.5399999999999991</v>
      </c>
      <c r="G23">
        <v>104.07</v>
      </c>
      <c r="H23" s="5">
        <v>0.124</v>
      </c>
      <c r="I23" s="5">
        <v>0.125</v>
      </c>
      <c r="J23" s="5">
        <v>0.13400000000000001</v>
      </c>
      <c r="K23" s="5">
        <v>0.13900000000000001</v>
      </c>
      <c r="L23" s="4">
        <v>85017</v>
      </c>
      <c r="M23" s="5">
        <v>-0.22207793812271215</v>
      </c>
      <c r="N23" s="5">
        <v>-8.5119990385317035E-2</v>
      </c>
      <c r="O23" s="5">
        <v>9.0144636796889444E-3</v>
      </c>
      <c r="P23" s="5">
        <v>-0.17289384709172528</v>
      </c>
    </row>
    <row r="24" spans="1:16" x14ac:dyDescent="0.25">
      <c r="A24" s="3">
        <v>45536</v>
      </c>
      <c r="B24" t="s">
        <v>13</v>
      </c>
      <c r="C24" s="4">
        <v>19</v>
      </c>
      <c r="D24" s="4">
        <v>8.6300000000000008</v>
      </c>
      <c r="E24" s="4">
        <v>8.5399999999999991</v>
      </c>
      <c r="F24" s="4">
        <v>9.52</v>
      </c>
      <c r="G24">
        <v>101.59</v>
      </c>
      <c r="H24" s="5">
        <v>0.125</v>
      </c>
      <c r="I24" s="5">
        <v>0.13400000000000001</v>
      </c>
      <c r="J24" s="5">
        <v>0.13900000000000001</v>
      </c>
      <c r="K24" s="5">
        <v>0.13700000000000001</v>
      </c>
      <c r="L24" s="4">
        <v>84324</v>
      </c>
      <c r="M24" s="5">
        <v>-8.5119990385317035E-2</v>
      </c>
      <c r="N24" s="5">
        <v>-7.2521182663526362E-2</v>
      </c>
      <c r="O24" s="5">
        <v>-0.17289384709172528</v>
      </c>
      <c r="P24" s="5">
        <v>-0.18822833269890704</v>
      </c>
    </row>
    <row r="25" spans="1:16" x14ac:dyDescent="0.25">
      <c r="A25" s="3">
        <v>45566</v>
      </c>
      <c r="B25" t="s">
        <v>13</v>
      </c>
      <c r="C25" s="4">
        <v>21</v>
      </c>
      <c r="D25" s="4">
        <v>8.5399999999999991</v>
      </c>
      <c r="E25" s="4">
        <v>9.52</v>
      </c>
      <c r="F25" s="4">
        <v>10.06</v>
      </c>
      <c r="G25">
        <v>96.37</v>
      </c>
      <c r="H25" s="5">
        <v>0.13400000000000001</v>
      </c>
      <c r="I25" s="5">
        <v>0.13900000000000001</v>
      </c>
      <c r="J25" s="5">
        <v>0.13700000000000001</v>
      </c>
      <c r="K25" s="5">
        <v>0.129</v>
      </c>
      <c r="L25" s="4">
        <v>86582</v>
      </c>
      <c r="M25" s="5">
        <v>-7.2521182663526362E-2</v>
      </c>
      <c r="N25" s="5">
        <v>6.8580149366376686E-2</v>
      </c>
      <c r="O25" s="5">
        <v>-0.18822833269890704</v>
      </c>
      <c r="P25" s="5">
        <v>-0.12412281010904214</v>
      </c>
    </row>
    <row r="26" spans="1:16" x14ac:dyDescent="0.25">
      <c r="A26" s="3">
        <v>45627</v>
      </c>
      <c r="B26" s="6" t="s">
        <v>14</v>
      </c>
      <c r="C26" s="4">
        <v>21</v>
      </c>
      <c r="D26" s="4">
        <v>9.52</v>
      </c>
      <c r="E26" s="4">
        <v>10.06</v>
      </c>
      <c r="F26" s="4">
        <v>10.34</v>
      </c>
      <c r="G26">
        <v>106.58</v>
      </c>
      <c r="H26" s="5">
        <v>0.13900000000000001</v>
      </c>
      <c r="I26" s="5">
        <v>0.13700000000000001</v>
      </c>
      <c r="J26" s="5">
        <v>0.129</v>
      </c>
      <c r="K26" s="5">
        <v>0.13100000000000001</v>
      </c>
      <c r="L26" s="4">
        <v>128665</v>
      </c>
      <c r="M26" s="5">
        <v>6.8580149366376686E-2</v>
      </c>
      <c r="N26" s="5">
        <v>-0.29446583341972554</v>
      </c>
      <c r="O26" s="5">
        <v>-0.12412281010904214</v>
      </c>
      <c r="P26" s="5">
        <v>-0.23711411972461804</v>
      </c>
    </row>
    <row r="27" spans="1:16" x14ac:dyDescent="0.25">
      <c r="A27" s="3">
        <v>45689</v>
      </c>
      <c r="B27" s="6" t="s">
        <v>14</v>
      </c>
      <c r="C27" s="4">
        <v>21</v>
      </c>
      <c r="D27" s="4">
        <v>10.06</v>
      </c>
      <c r="E27" s="4">
        <v>10.34</v>
      </c>
      <c r="F27" s="4">
        <v>10.23</v>
      </c>
      <c r="G27">
        <v>107.54</v>
      </c>
      <c r="H27" s="5">
        <v>0.13700000000000001</v>
      </c>
      <c r="I27" s="5">
        <v>0.129</v>
      </c>
      <c r="J27" s="5">
        <v>0.13100000000000001</v>
      </c>
      <c r="K27" s="8">
        <v>0.13</v>
      </c>
      <c r="L27" s="4">
        <v>89646</v>
      </c>
      <c r="M27" s="5">
        <v>-0.29446583341972554</v>
      </c>
      <c r="N27" s="5">
        <v>0.14406284973550942</v>
      </c>
      <c r="O27" s="5">
        <v>-0.23711411972461804</v>
      </c>
      <c r="P27" s="5">
        <v>-0.29620295275907427</v>
      </c>
    </row>
    <row r="28" spans="1:16" x14ac:dyDescent="0.25">
      <c r="A28" s="3">
        <v>45717</v>
      </c>
      <c r="B28" s="6" t="s">
        <v>14</v>
      </c>
      <c r="C28" s="4">
        <v>21</v>
      </c>
      <c r="D28" s="4">
        <v>10.34</v>
      </c>
      <c r="E28" s="4">
        <v>10.23</v>
      </c>
      <c r="F28" s="4">
        <v>9.4</v>
      </c>
      <c r="G28">
        <v>108.83</v>
      </c>
      <c r="H28" s="5">
        <v>0.129</v>
      </c>
      <c r="I28" s="5">
        <v>0.13100000000000001</v>
      </c>
      <c r="J28" s="8">
        <v>0.13</v>
      </c>
      <c r="K28" s="8">
        <v>0.13</v>
      </c>
      <c r="L28" s="4">
        <v>97645</v>
      </c>
      <c r="M28" s="5">
        <v>0.14406284973550942</v>
      </c>
      <c r="N28" s="5">
        <v>5.8318305109597013E-3</v>
      </c>
      <c r="O28" s="5">
        <v>-0.29620295275907427</v>
      </c>
      <c r="P28" s="5">
        <v>-0.29971916397589993</v>
      </c>
    </row>
    <row r="29" spans="1:16" x14ac:dyDescent="0.25">
      <c r="A29" s="3">
        <v>45748</v>
      </c>
      <c r="B29" s="6" t="s">
        <v>14</v>
      </c>
      <c r="C29" s="4">
        <v>21</v>
      </c>
      <c r="D29" s="4">
        <v>10.23</v>
      </c>
      <c r="E29" s="4">
        <v>9.4</v>
      </c>
      <c r="F29" s="4">
        <v>8.7899999999999991</v>
      </c>
      <c r="G29">
        <v>107.99</v>
      </c>
      <c r="H29" s="5">
        <v>0.13100000000000001</v>
      </c>
      <c r="I29" s="8">
        <v>0.13</v>
      </c>
      <c r="J29" s="8">
        <v>0.13</v>
      </c>
      <c r="K29" s="7">
        <v>0.13500000000000001</v>
      </c>
      <c r="L29" s="4">
        <v>97375</v>
      </c>
      <c r="M29" s="5">
        <v>5.8318305109597013E-3</v>
      </c>
      <c r="N29" s="5">
        <v>5.8662945922292264E-2</v>
      </c>
      <c r="O29" s="5">
        <v>-0.29971916397589993</v>
      </c>
      <c r="P29" s="5">
        <v>-0.39373520591759958</v>
      </c>
    </row>
    <row r="30" spans="1:16" x14ac:dyDescent="0.25">
      <c r="A30" s="3">
        <v>45809</v>
      </c>
      <c r="B30" s="6" t="s">
        <v>14</v>
      </c>
      <c r="C30" s="4">
        <v>20</v>
      </c>
      <c r="D30" s="4">
        <v>9.4</v>
      </c>
      <c r="E30" s="4">
        <v>8.7899999999999991</v>
      </c>
      <c r="F30" s="4">
        <v>8.14</v>
      </c>
      <c r="G30">
        <v>115.06</v>
      </c>
      <c r="H30" s="8">
        <v>0.13</v>
      </c>
      <c r="I30" s="8">
        <v>0.13</v>
      </c>
      <c r="J30" s="7">
        <v>0.13500000000000001</v>
      </c>
      <c r="K30" s="7">
        <v>0.126</v>
      </c>
      <c r="L30" s="4">
        <v>103183</v>
      </c>
      <c r="M30" s="5">
        <v>5.8662945922292264E-2</v>
      </c>
      <c r="N30" s="5">
        <v>8.5554723299259727E-2</v>
      </c>
      <c r="O30" s="5">
        <v>-0.39373520591759958</v>
      </c>
      <c r="P30" s="5">
        <v>-0.15398515733312734</v>
      </c>
    </row>
    <row r="31" spans="1:16" x14ac:dyDescent="0.25">
      <c r="A31" s="3">
        <v>45839</v>
      </c>
      <c r="B31" s="6" t="s">
        <v>14</v>
      </c>
      <c r="C31" s="4">
        <v>18</v>
      </c>
      <c r="D31" s="4">
        <v>8.7899999999999991</v>
      </c>
      <c r="E31" s="4">
        <v>8.14</v>
      </c>
      <c r="F31" s="4">
        <v>7.98</v>
      </c>
      <c r="G31">
        <v>119.26</v>
      </c>
      <c r="H31" s="8">
        <v>0.13</v>
      </c>
      <c r="I31" s="7">
        <v>0.13500000000000001</v>
      </c>
      <c r="J31" s="7">
        <v>0.126</v>
      </c>
      <c r="K31" s="7">
        <v>0.126</v>
      </c>
      <c r="L31" s="4">
        <v>99305</v>
      </c>
      <c r="M31" s="5">
        <v>8.5554723299259727E-2</v>
      </c>
      <c r="N31" s="5">
        <v>5.7815750220697959E-2</v>
      </c>
      <c r="O31" s="5">
        <v>-0.15398515733312734</v>
      </c>
      <c r="P31" s="5">
        <v>-8.7501914736247799E-2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526B-15E7-474B-9B4A-F299A6468BAA}">
  <dimension ref="A1:C13"/>
  <sheetViews>
    <sheetView tabSelected="1" workbookViewId="0">
      <selection activeCell="F20" sqref="F19:F20"/>
    </sheetView>
  </sheetViews>
  <sheetFormatPr defaultRowHeight="15" x14ac:dyDescent="0.25"/>
  <cols>
    <col min="1" max="1" width="20" customWidth="1"/>
  </cols>
  <sheetData>
    <row r="1" spans="1:3" x14ac:dyDescent="0.25">
      <c r="B1" t="s">
        <v>20</v>
      </c>
      <c r="C1" t="s">
        <v>21</v>
      </c>
    </row>
    <row r="2" spans="1:3" x14ac:dyDescent="0.25">
      <c r="A2" t="s">
        <v>3</v>
      </c>
      <c r="B2" s="4">
        <v>3.84</v>
      </c>
      <c r="C2">
        <v>3.4000000000000002E-2</v>
      </c>
    </row>
    <row r="3" spans="1:3" x14ac:dyDescent="0.25">
      <c r="A3" t="s">
        <v>22</v>
      </c>
      <c r="B3">
        <v>0.81</v>
      </c>
      <c r="C3">
        <v>0.45</v>
      </c>
    </row>
    <row r="4" spans="1:3" x14ac:dyDescent="0.25">
      <c r="A4" t="s">
        <v>23</v>
      </c>
      <c r="B4">
        <v>0.52</v>
      </c>
      <c r="C4">
        <v>0.59</v>
      </c>
    </row>
    <row r="5" spans="1:3" x14ac:dyDescent="0.25">
      <c r="A5" t="s">
        <v>5</v>
      </c>
      <c r="B5">
        <v>2.48</v>
      </c>
      <c r="C5">
        <v>0.11</v>
      </c>
    </row>
    <row r="6" spans="1:3" ht="30" x14ac:dyDescent="0.25">
      <c r="A6" s="6" t="s">
        <v>6</v>
      </c>
      <c r="B6">
        <v>0.69</v>
      </c>
      <c r="C6">
        <v>0.5</v>
      </c>
    </row>
    <row r="7" spans="1:3" x14ac:dyDescent="0.25">
      <c r="A7" t="s">
        <v>7</v>
      </c>
      <c r="B7">
        <v>1.52</v>
      </c>
      <c r="C7">
        <v>0.23</v>
      </c>
    </row>
    <row r="8" spans="1:3" x14ac:dyDescent="0.25">
      <c r="A8" t="s">
        <v>17</v>
      </c>
      <c r="B8">
        <v>0.53</v>
      </c>
      <c r="C8">
        <v>0.59</v>
      </c>
    </row>
    <row r="9" spans="1:3" x14ac:dyDescent="0.25">
      <c r="A9" t="s">
        <v>18</v>
      </c>
      <c r="B9">
        <v>0.85</v>
      </c>
      <c r="C9">
        <v>0.43</v>
      </c>
    </row>
    <row r="10" spans="1:3" ht="60" x14ac:dyDescent="0.25">
      <c r="A10" s="6" t="s">
        <v>24</v>
      </c>
      <c r="B10">
        <v>0.62</v>
      </c>
      <c r="C10">
        <v>0.52</v>
      </c>
    </row>
    <row r="11" spans="1:3" x14ac:dyDescent="0.25">
      <c r="A11" t="s">
        <v>10</v>
      </c>
      <c r="B11">
        <v>4.7</v>
      </c>
      <c r="C11">
        <v>1.7999999999999999E-2</v>
      </c>
    </row>
    <row r="12" spans="1:3" ht="60" x14ac:dyDescent="0.25">
      <c r="A12" s="6" t="s">
        <v>11</v>
      </c>
      <c r="B12">
        <v>2.2799999999999998</v>
      </c>
      <c r="C12">
        <v>0.12</v>
      </c>
    </row>
    <row r="13" spans="1:3" x14ac:dyDescent="0.25">
      <c r="A13" t="s">
        <v>12</v>
      </c>
      <c r="B13">
        <v>0.33</v>
      </c>
      <c r="C13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Основные данные</vt:lpstr>
      <vt:lpstr>Результаты статистики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Гуценко</dc:creator>
  <cp:lastModifiedBy>Павел Гуценко</cp:lastModifiedBy>
  <dcterms:created xsi:type="dcterms:W3CDTF">2025-10-21T19:15:15Z</dcterms:created>
  <dcterms:modified xsi:type="dcterms:W3CDTF">2025-12-04T18:49:58Z</dcterms:modified>
</cp:coreProperties>
</file>